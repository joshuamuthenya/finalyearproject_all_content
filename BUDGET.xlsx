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shua\Desktop\iot_air_quality\"/>
    </mc:Choice>
  </mc:AlternateContent>
  <bookViews>
    <workbookView xWindow="0" yWindow="0" windowWidth="20490" windowHeight="82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4" i="1" l="1"/>
  <c r="E32" i="1"/>
  <c r="E31" i="1"/>
  <c r="E30" i="1"/>
  <c r="E29" i="1"/>
  <c r="E28" i="1"/>
  <c r="E27" i="1"/>
  <c r="K4" i="1" l="1"/>
  <c r="K7" i="1"/>
  <c r="K12" i="1"/>
  <c r="K14" i="1"/>
  <c r="K17" i="1"/>
  <c r="K18" i="1"/>
  <c r="K20" i="1"/>
  <c r="F21" i="1"/>
  <c r="K21" i="1" s="1"/>
  <c r="F20" i="1"/>
  <c r="F19" i="1"/>
  <c r="K19" i="1" s="1"/>
  <c r="F18" i="1"/>
  <c r="F17" i="1"/>
  <c r="F16" i="1"/>
  <c r="K16" i="1" s="1"/>
  <c r="F15" i="1"/>
  <c r="K15" i="1" s="1"/>
  <c r="F14" i="1"/>
  <c r="F3" i="1"/>
  <c r="K3" i="1" s="1"/>
  <c r="F4" i="1"/>
  <c r="F5" i="1"/>
  <c r="K5" i="1" s="1"/>
  <c r="F6" i="1"/>
  <c r="K6" i="1" s="1"/>
  <c r="F7" i="1"/>
  <c r="F8" i="1"/>
  <c r="K8" i="1" s="1"/>
  <c r="F9" i="1"/>
  <c r="K9" i="1" s="1"/>
  <c r="F10" i="1"/>
  <c r="K10" i="1" s="1"/>
  <c r="F11" i="1"/>
  <c r="K11" i="1" s="1"/>
  <c r="F12" i="1"/>
  <c r="F13" i="1"/>
  <c r="K13" i="1" s="1"/>
  <c r="F2" i="1"/>
  <c r="K2" i="1" s="1"/>
  <c r="K23" i="1" l="1"/>
  <c r="F23" i="1" s="1"/>
</calcChain>
</file>

<file path=xl/sharedStrings.xml><?xml version="1.0" encoding="utf-8"?>
<sst xmlns="http://schemas.openxmlformats.org/spreadsheetml/2006/main" count="80" uniqueCount="53">
  <si>
    <t>Serial No</t>
  </si>
  <si>
    <t>Component</t>
  </si>
  <si>
    <t>Unit cost</t>
  </si>
  <si>
    <t>Quantity</t>
  </si>
  <si>
    <t>Total</t>
  </si>
  <si>
    <t>ESP 32</t>
  </si>
  <si>
    <t>MQ-SERIES</t>
  </si>
  <si>
    <t>NOVA PM</t>
  </si>
  <si>
    <t>BATTERY</t>
  </si>
  <si>
    <t>BATTERY CHARGER</t>
  </si>
  <si>
    <t>PSU</t>
  </si>
  <si>
    <t>JUMPERS</t>
  </si>
  <si>
    <t>STRIP BOARD</t>
  </si>
  <si>
    <t>BREAD BOARD</t>
  </si>
  <si>
    <t>ENCLOSURE</t>
  </si>
  <si>
    <t>INTERNET</t>
  </si>
  <si>
    <t>DHT11</t>
  </si>
  <si>
    <t>ACCESS POINT</t>
  </si>
  <si>
    <t>POWERBANK</t>
  </si>
  <si>
    <t>Miscellaneous</t>
  </si>
  <si>
    <t>LEDS</t>
  </si>
  <si>
    <t>BUZZER</t>
  </si>
  <si>
    <t xml:space="preserve">PUSH BUTTON </t>
  </si>
  <si>
    <t>RESISTORS</t>
  </si>
  <si>
    <t>CAPACITORS</t>
  </si>
  <si>
    <t>DESCRIPTION</t>
  </si>
  <si>
    <t>TOTAL</t>
  </si>
  <si>
    <r>
      <t xml:space="preserve">Decoupling and bulk: </t>
    </r>
    <r>
      <rPr>
        <i/>
        <sz val="11"/>
        <color theme="1"/>
        <rFont val="Calibri"/>
        <family val="2"/>
        <scheme val="minor"/>
      </rPr>
      <t>100 µF, 10 µF, 0.1 µF</t>
    </r>
  </si>
  <si>
    <r>
      <t xml:space="preserve">Assorted: </t>
    </r>
    <r>
      <rPr>
        <i/>
        <sz val="11"/>
        <color theme="1"/>
        <rFont val="Calibri"/>
        <family val="2"/>
        <scheme val="minor"/>
      </rPr>
      <t>10 kΩ, 4.7 kΩ, 1 kΩ, 220 Ω</t>
    </r>
  </si>
  <si>
    <t>5 V active piezo buzzer.</t>
  </si>
  <si>
    <t>5 mm LEDs (e.g., red, green, blue).</t>
  </si>
  <si>
    <t>Screws, headers, mounts.</t>
  </si>
  <si>
    <t>10 000 mAh USB power bank</t>
  </si>
  <si>
    <t>Wi‑Fi router</t>
  </si>
  <si>
    <t>Temp/humidity sensor module (5 V)</t>
  </si>
  <si>
    <t>Wi‑Fi data connection plan (monthly)</t>
  </si>
  <si>
    <t>Standard 830‑tie point breadboard.</t>
  </si>
  <si>
    <r>
      <t xml:space="preserve">Standard perfboard, </t>
    </r>
    <r>
      <rPr>
        <i/>
        <sz val="11"/>
        <color theme="1"/>
        <rFont val="Calibri"/>
        <family val="2"/>
        <scheme val="minor"/>
      </rPr>
      <t>proto assembly</t>
    </r>
  </si>
  <si>
    <t>20 cm male‑to‑male jumper wires. (common prototyping set)</t>
  </si>
  <si>
    <t>AMS1117‑3.3 voltage regulator (3.3 V output).</t>
  </si>
  <si>
    <t>TP4056 Li‑ion charger module</t>
  </si>
  <si>
    <t>SDS011 PM2.5/PM10 particulate sensor (UART)</t>
  </si>
  <si>
    <t>DOIT ESP32 DEVKIT V1</t>
  </si>
  <si>
    <t>MQ‑135 / MQ‑7 gas sensors (analog modules)</t>
  </si>
  <si>
    <t>12 V Li‑ion / lead‑acid battery, 2–5 Ah typical</t>
  </si>
  <si>
    <t>Standard tactile push button/switch</t>
  </si>
  <si>
    <t>wooden box</t>
  </si>
  <si>
    <t>COST</t>
  </si>
  <si>
    <t>COMPONENTS</t>
  </si>
  <si>
    <t>SENSORS</t>
  </si>
  <si>
    <t>MICROCONTOLLER</t>
  </si>
  <si>
    <t>POWER SUPPLY UNIT</t>
  </si>
  <si>
    <t>CONNECTIVITY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</si>
</sst>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tabSelected="1" topLeftCell="A8" workbookViewId="0">
      <selection activeCell="D26" sqref="D26:E34"/>
    </sheetView>
  </sheetViews>
  <sheetFormatPr defaultRowHeight="15" x14ac:dyDescent="0.25"/>
  <cols>
    <col min="2" max="2" width="18.28515625" customWidth="1"/>
    <col min="3" max="3" width="49.42578125" customWidth="1"/>
    <col min="4" max="4" width="19.5703125" customWidth="1"/>
    <col min="5" max="5" width="8.7109375" customWidth="1"/>
    <col min="10" max="10" width="23.7109375" customWidth="1"/>
  </cols>
  <sheetData>
    <row r="1" spans="1:11" ht="15.75" x14ac:dyDescent="0.25">
      <c r="A1" s="1" t="s">
        <v>0</v>
      </c>
      <c r="B1" s="1" t="s">
        <v>1</v>
      </c>
      <c r="C1" s="1" t="s">
        <v>25</v>
      </c>
      <c r="D1" s="1" t="s">
        <v>2</v>
      </c>
      <c r="E1" s="1" t="s">
        <v>3</v>
      </c>
      <c r="F1" s="1" t="s">
        <v>4</v>
      </c>
      <c r="I1" s="2" t="s">
        <v>0</v>
      </c>
      <c r="J1" s="2" t="s">
        <v>1</v>
      </c>
      <c r="K1" s="2" t="s">
        <v>4</v>
      </c>
    </row>
    <row r="2" spans="1:11" ht="15.75" x14ac:dyDescent="0.25">
      <c r="A2" s="1">
        <v>1</v>
      </c>
      <c r="B2" s="1" t="s">
        <v>5</v>
      </c>
      <c r="C2" s="1" t="s">
        <v>42</v>
      </c>
      <c r="D2" s="1">
        <v>1500</v>
      </c>
      <c r="E2" s="1">
        <v>1</v>
      </c>
      <c r="F2" s="1">
        <f>D2*E2</f>
        <v>1500</v>
      </c>
      <c r="I2" s="2">
        <v>1</v>
      </c>
      <c r="J2" s="2" t="s">
        <v>5</v>
      </c>
      <c r="K2" s="2">
        <f>F2</f>
        <v>1500</v>
      </c>
    </row>
    <row r="3" spans="1:11" ht="15.75" x14ac:dyDescent="0.25">
      <c r="A3" s="1">
        <v>2</v>
      </c>
      <c r="B3" s="1" t="s">
        <v>6</v>
      </c>
      <c r="C3" s="1" t="s">
        <v>43</v>
      </c>
      <c r="D3" s="1">
        <v>400</v>
      </c>
      <c r="E3" s="1">
        <v>4</v>
      </c>
      <c r="F3" s="1">
        <f t="shared" ref="F3:F21" si="0">D3*E3</f>
        <v>1600</v>
      </c>
      <c r="I3" s="2">
        <v>2</v>
      </c>
      <c r="J3" s="2" t="s">
        <v>6</v>
      </c>
      <c r="K3" s="2">
        <f t="shared" ref="K3:K21" si="1">F3</f>
        <v>1600</v>
      </c>
    </row>
    <row r="4" spans="1:11" ht="15.75" x14ac:dyDescent="0.25">
      <c r="A4" s="1">
        <v>3</v>
      </c>
      <c r="B4" s="1" t="s">
        <v>7</v>
      </c>
      <c r="C4" s="1" t="s">
        <v>41</v>
      </c>
      <c r="D4" s="1">
        <v>2300</v>
      </c>
      <c r="E4" s="1">
        <v>1</v>
      </c>
      <c r="F4" s="1">
        <f t="shared" si="0"/>
        <v>2300</v>
      </c>
      <c r="I4" s="2">
        <v>3</v>
      </c>
      <c r="J4" s="2" t="s">
        <v>7</v>
      </c>
      <c r="K4" s="2">
        <f t="shared" si="1"/>
        <v>2300</v>
      </c>
    </row>
    <row r="5" spans="1:11" ht="15.75" x14ac:dyDescent="0.25">
      <c r="A5" s="1">
        <v>4</v>
      </c>
      <c r="B5" s="1" t="s">
        <v>8</v>
      </c>
      <c r="C5" s="1" t="s">
        <v>44</v>
      </c>
      <c r="D5" s="1">
        <v>1800</v>
      </c>
      <c r="E5" s="1">
        <v>1</v>
      </c>
      <c r="F5" s="1">
        <f t="shared" si="0"/>
        <v>1800</v>
      </c>
      <c r="I5" s="2">
        <v>4</v>
      </c>
      <c r="J5" s="2" t="s">
        <v>8</v>
      </c>
      <c r="K5" s="2">
        <f t="shared" si="1"/>
        <v>1800</v>
      </c>
    </row>
    <row r="6" spans="1:11" ht="15.75" x14ac:dyDescent="0.25">
      <c r="A6" s="1">
        <v>5</v>
      </c>
      <c r="B6" s="1" t="s">
        <v>9</v>
      </c>
      <c r="C6" s="1" t="s">
        <v>40</v>
      </c>
      <c r="D6" s="1">
        <v>1200</v>
      </c>
      <c r="E6" s="1">
        <v>1</v>
      </c>
      <c r="F6" s="1">
        <f t="shared" si="0"/>
        <v>1200</v>
      </c>
      <c r="I6" s="2">
        <v>5</v>
      </c>
      <c r="J6" s="2" t="s">
        <v>9</v>
      </c>
      <c r="K6" s="2">
        <f t="shared" si="1"/>
        <v>1200</v>
      </c>
    </row>
    <row r="7" spans="1:11" ht="15.75" x14ac:dyDescent="0.25">
      <c r="A7" s="1">
        <v>6</v>
      </c>
      <c r="B7" s="1" t="s">
        <v>10</v>
      </c>
      <c r="C7" s="1" t="s">
        <v>39</v>
      </c>
      <c r="D7" s="1">
        <v>400</v>
      </c>
      <c r="E7" s="1">
        <v>1</v>
      </c>
      <c r="F7" s="1">
        <f t="shared" si="0"/>
        <v>400</v>
      </c>
      <c r="I7" s="2">
        <v>6</v>
      </c>
      <c r="J7" s="2" t="s">
        <v>10</v>
      </c>
      <c r="K7" s="2">
        <f t="shared" si="1"/>
        <v>400</v>
      </c>
    </row>
    <row r="8" spans="1:11" ht="15.75" x14ac:dyDescent="0.25">
      <c r="A8" s="1">
        <v>7</v>
      </c>
      <c r="B8" s="1" t="s">
        <v>11</v>
      </c>
      <c r="C8" s="1" t="s">
        <v>38</v>
      </c>
      <c r="D8" s="1">
        <v>250</v>
      </c>
      <c r="E8" s="1">
        <v>2</v>
      </c>
      <c r="F8" s="1">
        <f t="shared" si="0"/>
        <v>500</v>
      </c>
      <c r="I8" s="2">
        <v>7</v>
      </c>
      <c r="J8" s="2" t="s">
        <v>11</v>
      </c>
      <c r="K8" s="2">
        <f t="shared" si="1"/>
        <v>500</v>
      </c>
    </row>
    <row r="9" spans="1:11" ht="15.75" x14ac:dyDescent="0.25">
      <c r="A9" s="1">
        <v>8</v>
      </c>
      <c r="B9" s="1" t="s">
        <v>12</v>
      </c>
      <c r="C9" s="1" t="s">
        <v>37</v>
      </c>
      <c r="D9" s="1">
        <v>100</v>
      </c>
      <c r="E9" s="1">
        <v>2</v>
      </c>
      <c r="F9" s="1">
        <f t="shared" si="0"/>
        <v>200</v>
      </c>
      <c r="I9" s="2">
        <v>8</v>
      </c>
      <c r="J9" s="2" t="s">
        <v>12</v>
      </c>
      <c r="K9" s="2">
        <f t="shared" si="1"/>
        <v>200</v>
      </c>
    </row>
    <row r="10" spans="1:11" ht="15.75" x14ac:dyDescent="0.25">
      <c r="A10" s="1">
        <v>9</v>
      </c>
      <c r="B10" s="1" t="s">
        <v>13</v>
      </c>
      <c r="C10" s="1" t="s">
        <v>36</v>
      </c>
      <c r="D10" s="1">
        <v>200</v>
      </c>
      <c r="E10" s="1">
        <v>1</v>
      </c>
      <c r="F10" s="1">
        <f t="shared" si="0"/>
        <v>200</v>
      </c>
      <c r="I10" s="2">
        <v>9</v>
      </c>
      <c r="J10" s="2" t="s">
        <v>13</v>
      </c>
      <c r="K10" s="2">
        <f t="shared" si="1"/>
        <v>200</v>
      </c>
    </row>
    <row r="11" spans="1:11" ht="15.75" x14ac:dyDescent="0.25">
      <c r="A11" s="1">
        <v>10</v>
      </c>
      <c r="B11" s="1" t="s">
        <v>14</v>
      </c>
      <c r="C11" s="1" t="s">
        <v>46</v>
      </c>
      <c r="D11" s="1">
        <v>1000</v>
      </c>
      <c r="E11" s="1">
        <v>1</v>
      </c>
      <c r="F11" s="1">
        <f t="shared" si="0"/>
        <v>1000</v>
      </c>
      <c r="I11" s="2">
        <v>10</v>
      </c>
      <c r="J11" s="2" t="s">
        <v>14</v>
      </c>
      <c r="K11" s="2">
        <f t="shared" si="1"/>
        <v>1000</v>
      </c>
    </row>
    <row r="12" spans="1:11" ht="15.75" x14ac:dyDescent="0.25">
      <c r="A12" s="1">
        <v>11</v>
      </c>
      <c r="B12" s="1" t="s">
        <v>15</v>
      </c>
      <c r="C12" s="1" t="s">
        <v>35</v>
      </c>
      <c r="D12" s="1">
        <v>1000</v>
      </c>
      <c r="E12" s="1">
        <v>2</v>
      </c>
      <c r="F12" s="1">
        <f t="shared" si="0"/>
        <v>2000</v>
      </c>
      <c r="I12" s="2">
        <v>11</v>
      </c>
      <c r="J12" s="2" t="s">
        <v>15</v>
      </c>
      <c r="K12" s="2">
        <f t="shared" si="1"/>
        <v>2000</v>
      </c>
    </row>
    <row r="13" spans="1:11" ht="15.75" x14ac:dyDescent="0.25">
      <c r="A13" s="1">
        <v>12</v>
      </c>
      <c r="B13" s="1" t="s">
        <v>16</v>
      </c>
      <c r="C13" s="1" t="s">
        <v>34</v>
      </c>
      <c r="D13" s="1">
        <v>500</v>
      </c>
      <c r="E13" s="1">
        <v>1</v>
      </c>
      <c r="F13" s="1">
        <f t="shared" si="0"/>
        <v>500</v>
      </c>
      <c r="I13" s="2">
        <v>12</v>
      </c>
      <c r="J13" s="2" t="s">
        <v>16</v>
      </c>
      <c r="K13" s="2">
        <f t="shared" si="1"/>
        <v>500</v>
      </c>
    </row>
    <row r="14" spans="1:11" ht="15.75" x14ac:dyDescent="0.25">
      <c r="A14" s="1">
        <v>13</v>
      </c>
      <c r="B14" s="1" t="s">
        <v>17</v>
      </c>
      <c r="C14" s="1" t="s">
        <v>33</v>
      </c>
      <c r="D14" s="1">
        <v>2500</v>
      </c>
      <c r="E14" s="1">
        <v>1</v>
      </c>
      <c r="F14" s="1">
        <f t="shared" si="0"/>
        <v>2500</v>
      </c>
      <c r="I14" s="2">
        <v>13</v>
      </c>
      <c r="J14" s="2" t="s">
        <v>17</v>
      </c>
      <c r="K14" s="2">
        <f t="shared" si="1"/>
        <v>2500</v>
      </c>
    </row>
    <row r="15" spans="1:11" ht="15.75" x14ac:dyDescent="0.25">
      <c r="A15" s="1">
        <v>14</v>
      </c>
      <c r="B15" s="1" t="s">
        <v>18</v>
      </c>
      <c r="C15" s="1" t="s">
        <v>32</v>
      </c>
      <c r="D15" s="1">
        <v>1200</v>
      </c>
      <c r="E15" s="1">
        <v>1</v>
      </c>
      <c r="F15" s="1">
        <f t="shared" si="0"/>
        <v>1200</v>
      </c>
      <c r="I15" s="2">
        <v>14</v>
      </c>
      <c r="J15" s="2" t="s">
        <v>18</v>
      </c>
      <c r="K15" s="2">
        <f t="shared" si="1"/>
        <v>1200</v>
      </c>
    </row>
    <row r="16" spans="1:11" ht="15.75" x14ac:dyDescent="0.25">
      <c r="A16" s="1">
        <v>15</v>
      </c>
      <c r="B16" s="2" t="s">
        <v>19</v>
      </c>
      <c r="C16" s="1" t="s">
        <v>31</v>
      </c>
      <c r="D16" s="1">
        <v>400</v>
      </c>
      <c r="E16" s="1">
        <v>1</v>
      </c>
      <c r="F16" s="1">
        <f t="shared" si="0"/>
        <v>400</v>
      </c>
      <c r="I16" s="2">
        <v>15</v>
      </c>
      <c r="J16" s="2" t="s">
        <v>19</v>
      </c>
      <c r="K16" s="2">
        <f t="shared" si="1"/>
        <v>400</v>
      </c>
    </row>
    <row r="17" spans="1:11" ht="15.75" x14ac:dyDescent="0.25">
      <c r="A17" s="1">
        <v>16</v>
      </c>
      <c r="B17" s="1" t="s">
        <v>20</v>
      </c>
      <c r="C17" s="1" t="s">
        <v>30</v>
      </c>
      <c r="D17" s="1">
        <v>10</v>
      </c>
      <c r="E17" s="1">
        <v>10</v>
      </c>
      <c r="F17" s="1">
        <f t="shared" si="0"/>
        <v>100</v>
      </c>
      <c r="I17" s="2">
        <v>16</v>
      </c>
      <c r="J17" s="2" t="s">
        <v>20</v>
      </c>
      <c r="K17" s="2">
        <f t="shared" si="1"/>
        <v>100</v>
      </c>
    </row>
    <row r="18" spans="1:11" ht="15.75" x14ac:dyDescent="0.25">
      <c r="A18" s="1">
        <v>17</v>
      </c>
      <c r="B18" s="1" t="s">
        <v>21</v>
      </c>
      <c r="C18" s="1" t="s">
        <v>29</v>
      </c>
      <c r="D18" s="1">
        <v>2</v>
      </c>
      <c r="E18" s="1">
        <v>20</v>
      </c>
      <c r="F18" s="1">
        <f t="shared" si="0"/>
        <v>40</v>
      </c>
      <c r="I18" s="2">
        <v>17</v>
      </c>
      <c r="J18" s="2" t="s">
        <v>21</v>
      </c>
      <c r="K18" s="2">
        <f t="shared" si="1"/>
        <v>40</v>
      </c>
    </row>
    <row r="19" spans="1:11" ht="15.75" x14ac:dyDescent="0.25">
      <c r="A19" s="1">
        <v>18</v>
      </c>
      <c r="B19" s="1" t="s">
        <v>22</v>
      </c>
      <c r="C19" s="1" t="s">
        <v>45</v>
      </c>
      <c r="D19" s="1">
        <v>1</v>
      </c>
      <c r="E19" s="1">
        <v>20</v>
      </c>
      <c r="F19" s="1">
        <f t="shared" si="0"/>
        <v>20</v>
      </c>
      <c r="I19" s="2">
        <v>18</v>
      </c>
      <c r="J19" s="2" t="s">
        <v>22</v>
      </c>
      <c r="K19" s="2">
        <f t="shared" si="1"/>
        <v>20</v>
      </c>
    </row>
    <row r="20" spans="1:11" ht="15.75" x14ac:dyDescent="0.25">
      <c r="A20" s="1">
        <v>19</v>
      </c>
      <c r="B20" s="1" t="s">
        <v>23</v>
      </c>
      <c r="C20" s="1" t="s">
        <v>28</v>
      </c>
      <c r="D20" s="1">
        <v>10</v>
      </c>
      <c r="E20" s="1">
        <v>20</v>
      </c>
      <c r="F20" s="1">
        <f t="shared" si="0"/>
        <v>200</v>
      </c>
      <c r="I20" s="2">
        <v>19</v>
      </c>
      <c r="J20" s="2" t="s">
        <v>23</v>
      </c>
      <c r="K20" s="2">
        <f t="shared" si="1"/>
        <v>200</v>
      </c>
    </row>
    <row r="21" spans="1:11" ht="15.75" x14ac:dyDescent="0.25">
      <c r="A21" s="1">
        <v>20</v>
      </c>
      <c r="B21" s="1" t="s">
        <v>24</v>
      </c>
      <c r="C21" s="1" t="s">
        <v>27</v>
      </c>
      <c r="D21" s="1">
        <v>20</v>
      </c>
      <c r="E21" s="1">
        <v>10</v>
      </c>
      <c r="F21" s="1">
        <f t="shared" si="0"/>
        <v>200</v>
      </c>
      <c r="I21" s="2">
        <v>20</v>
      </c>
      <c r="J21" s="2" t="s">
        <v>24</v>
      </c>
      <c r="K21" s="2">
        <f t="shared" si="1"/>
        <v>200</v>
      </c>
    </row>
    <row r="22" spans="1:11" ht="15.75" x14ac:dyDescent="0.25">
      <c r="A22" s="1"/>
      <c r="B22" s="1"/>
      <c r="C22" s="1"/>
      <c r="D22" s="1"/>
      <c r="E22" s="1"/>
      <c r="F22" s="1"/>
      <c r="I22" s="2"/>
      <c r="J22" s="2"/>
      <c r="K22" s="2"/>
    </row>
    <row r="23" spans="1:11" ht="15.75" x14ac:dyDescent="0.25">
      <c r="A23" s="1"/>
      <c r="B23" s="1"/>
      <c r="C23" s="1"/>
      <c r="D23" s="1"/>
      <c r="E23" s="1" t="s">
        <v>26</v>
      </c>
      <c r="F23" s="1">
        <f>K23</f>
        <v>17860</v>
      </c>
      <c r="I23" s="2"/>
      <c r="J23" s="2" t="s">
        <v>26</v>
      </c>
      <c r="K23" s="2">
        <f>SUM(K2:K21)</f>
        <v>17860</v>
      </c>
    </row>
    <row r="26" spans="1:11" x14ac:dyDescent="0.25">
      <c r="D26" s="1" t="s">
        <v>48</v>
      </c>
      <c r="E26" s="1" t="s">
        <v>47</v>
      </c>
    </row>
    <row r="27" spans="1:11" x14ac:dyDescent="0.25">
      <c r="D27" s="1" t="s">
        <v>49</v>
      </c>
      <c r="E27" s="1">
        <f>K3+K4+K13</f>
        <v>4400</v>
      </c>
    </row>
    <row r="28" spans="1:11" x14ac:dyDescent="0.25">
      <c r="D28" s="1" t="s">
        <v>50</v>
      </c>
      <c r="E28" s="1">
        <f>K2</f>
        <v>1500</v>
      </c>
    </row>
    <row r="29" spans="1:11" x14ac:dyDescent="0.25">
      <c r="D29" s="1" t="s">
        <v>51</v>
      </c>
      <c r="E29" s="1">
        <f>K21+K20+K9+K10+K8+K7+K6+K5+K15</f>
        <v>5900</v>
      </c>
    </row>
    <row r="30" spans="1:11" ht="15.75" x14ac:dyDescent="0.25">
      <c r="D30" s="2" t="s">
        <v>19</v>
      </c>
      <c r="E30" s="1">
        <f>K18+K17+K19+K16</f>
        <v>560</v>
      </c>
    </row>
    <row r="31" spans="1:11" x14ac:dyDescent="0.25">
      <c r="D31" s="1" t="s">
        <v>52</v>
      </c>
      <c r="E31" s="1">
        <f>K14+K12</f>
        <v>4500</v>
      </c>
    </row>
    <row r="32" spans="1:11" x14ac:dyDescent="0.25">
      <c r="D32" s="1" t="s">
        <v>14</v>
      </c>
      <c r="E32" s="1">
        <f>K11</f>
        <v>1000</v>
      </c>
    </row>
    <row r="33" spans="4:5" x14ac:dyDescent="0.25">
      <c r="D33" s="1"/>
      <c r="E33" s="1"/>
    </row>
    <row r="34" spans="4:5" x14ac:dyDescent="0.25">
      <c r="D34" s="1" t="s">
        <v>26</v>
      </c>
      <c r="E34" s="1">
        <f>SUM(E27:E32)</f>
        <v>17860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</dc:creator>
  <cp:lastModifiedBy>Joshua</cp:lastModifiedBy>
  <dcterms:created xsi:type="dcterms:W3CDTF">2025-12-23T04:59:19Z</dcterms:created>
  <dcterms:modified xsi:type="dcterms:W3CDTF">2026-02-10T19:44:28Z</dcterms:modified>
</cp:coreProperties>
</file>